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x&quot;"/>
    <numFmt numFmtId="165" formatCode="0.0%"/>
    <numFmt numFmtId="166" formatCode="0.00&quot;x/yıl&quot;"/>
    <numFmt numFmtId="167" formatCode="0 &quot;gün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AAAAAA"/>
      <sz val="9"/>
    </font>
    <font>
      <name val="Arial"/>
      <b val="1"/>
      <color rgb="001C1917"/>
      <sz val="9"/>
    </font>
    <font>
      <name val="Arial"/>
      <b val="1"/>
      <color rgb="00FFFFFF"/>
      <sz val="9"/>
    </font>
    <font>
      <name val="Arial"/>
      <color rgb="001C1917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B45309"/>
      <sz val="10"/>
    </font>
    <font>
      <name val="Arial"/>
      <b val="1"/>
      <color rgb="0015803D"/>
      <sz val="10"/>
    </font>
    <font>
      <name val="Arial"/>
      <b val="1"/>
      <color rgb="001D4ED8"/>
      <sz val="10"/>
    </font>
  </fonts>
  <fills count="10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2D3748"/>
      </patternFill>
    </fill>
    <fill>
      <patternFill patternType="solid">
        <fgColor rgb="00F0EDE8"/>
      </patternFill>
    </fill>
    <fill>
      <patternFill patternType="solid">
        <fgColor rgb="004B5563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3" customWidth="1" min="8" max="8"/>
  </cols>
  <sheetData>
    <row r="1" ht="32" customHeight="1">
      <c r="B1" s="1" t="inlineStr">
        <is>
          <t>MALİ ORAN ANALİZİ — KARŞILAŞTIRMALI</t>
        </is>
      </c>
    </row>
    <row r="2">
      <c r="B2" s="2" t="inlineStr">
        <is>
          <t>MuhasebeAkademi | Likidite · Kârlılık · Kaldıraç · Devir Hızı</t>
        </is>
      </c>
    </row>
    <row r="4">
      <c r="B4" s="3" t="inlineStr">
        <is>
          <t>── FİNANSAL VERİLER (GİRİŞ) ─────────────</t>
        </is>
      </c>
      <c r="C4" s="4" t="n"/>
      <c r="D4" s="4" t="n"/>
      <c r="E4" s="4" t="n"/>
      <c r="F4" s="4" t="n"/>
      <c r="G4" s="4" t="n"/>
    </row>
    <row r="5">
      <c r="B5" s="5" t="inlineStr">
        <is>
          <t>KALEM</t>
        </is>
      </c>
      <c r="C5" s="5" t="inlineStr">
        <is>
          <t>2022</t>
        </is>
      </c>
      <c r="D5" s="5" t="inlineStr">
        <is>
          <t>2023</t>
        </is>
      </c>
      <c r="E5" s="5" t="inlineStr">
        <is>
          <t>2024</t>
        </is>
      </c>
      <c r="F5" s="5" t="inlineStr">
        <is>
          <t>2025E</t>
        </is>
      </c>
      <c r="G5" s="4" t="n"/>
    </row>
    <row r="6">
      <c r="B6" s="6" t="inlineStr">
        <is>
          <t>Dönen Varlıklar (TL)</t>
        </is>
      </c>
      <c r="C6" s="7" t="n">
        <v>18500000</v>
      </c>
      <c r="D6" s="7" t="n">
        <v>21000000</v>
      </c>
      <c r="E6" s="7" t="n">
        <v>27330000</v>
      </c>
      <c r="F6" s="7" t="n">
        <v>31000000</v>
      </c>
      <c r="G6" s="4" t="n"/>
    </row>
    <row r="7">
      <c r="B7" s="6" t="inlineStr">
        <is>
          <t>Stoklar (TL)</t>
        </is>
      </c>
      <c r="C7" s="7" t="n">
        <v>6200000</v>
      </c>
      <c r="D7" s="7" t="n">
        <v>7100000</v>
      </c>
      <c r="E7" s="7" t="n">
        <v>8470000</v>
      </c>
      <c r="F7" s="7" t="n">
        <v>9200000</v>
      </c>
      <c r="G7" s="4" t="n"/>
    </row>
    <row r="8">
      <c r="B8" s="6" t="inlineStr">
        <is>
          <t>Nakit (TL)</t>
        </is>
      </c>
      <c r="C8" s="7" t="n">
        <v>3100000</v>
      </c>
      <c r="D8" s="7" t="n">
        <v>3150000</v>
      </c>
      <c r="E8" s="7" t="n">
        <v>4820000</v>
      </c>
      <c r="F8" s="7" t="n">
        <v>5500000</v>
      </c>
      <c r="G8" s="4" t="n"/>
    </row>
    <row r="9">
      <c r="B9" s="6" t="inlineStr">
        <is>
          <t>Kısa Vadeli Borçlar (TL)</t>
        </is>
      </c>
      <c r="C9" s="7" t="n">
        <v>10800000</v>
      </c>
      <c r="D9" s="7" t="n">
        <v>12790000</v>
      </c>
      <c r="E9" s="7" t="n">
        <v>16450000</v>
      </c>
      <c r="F9" s="7" t="n">
        <v>18000000</v>
      </c>
      <c r="G9" s="4" t="n"/>
    </row>
    <row r="10">
      <c r="B10" s="6" t="inlineStr">
        <is>
          <t>Toplam Varlıklar (TL)</t>
        </is>
      </c>
      <c r="C10" s="7" t="n">
        <v>45000000</v>
      </c>
      <c r="D10" s="7" t="n">
        <v>53135000</v>
      </c>
      <c r="E10" s="7" t="n">
        <v>64200000</v>
      </c>
      <c r="F10" s="7" t="n">
        <v>72000000</v>
      </c>
      <c r="G10" s="4" t="n"/>
    </row>
    <row r="11">
      <c r="B11" s="6" t="inlineStr">
        <is>
          <t>Toplam Borçlar (TL)</t>
        </is>
      </c>
      <c r="C11" s="7" t="n">
        <v>22000000</v>
      </c>
      <c r="D11" s="7" t="n">
        <v>27520000</v>
      </c>
      <c r="E11" s="7" t="n">
        <v>33380000</v>
      </c>
      <c r="F11" s="7" t="n">
        <v>37000000</v>
      </c>
      <c r="G11" s="4" t="n"/>
    </row>
    <row r="12">
      <c r="B12" s="6" t="inlineStr">
        <is>
          <t>Toplam Özkaynak (TL)</t>
        </is>
      </c>
      <c r="C12" s="7" t="n">
        <v>23000000</v>
      </c>
      <c r="D12" s="7" t="n">
        <v>25615000</v>
      </c>
      <c r="E12" s="7" t="n">
        <v>30620000</v>
      </c>
      <c r="F12" s="7" t="n">
        <v>35000000</v>
      </c>
      <c r="G12" s="4" t="n"/>
    </row>
    <row r="13">
      <c r="B13" s="6" t="inlineStr">
        <is>
          <t>Net Satışlar (TL)</t>
        </is>
      </c>
      <c r="C13" s="7" t="n">
        <v>58000000</v>
      </c>
      <c r="D13" s="7" t="n">
        <v>72000000</v>
      </c>
      <c r="E13" s="7" t="n">
        <v>89500000</v>
      </c>
      <c r="F13" s="7" t="n">
        <v>105000000</v>
      </c>
      <c r="G13" s="4" t="n"/>
    </row>
    <row r="14">
      <c r="B14" s="6" t="inlineStr">
        <is>
          <t>Brüt Kâr (TL)</t>
        </is>
      </c>
      <c r="C14" s="7" t="n">
        <v>16240000</v>
      </c>
      <c r="D14" s="7" t="n">
        <v>20160000</v>
      </c>
      <c r="E14" s="7" t="n">
        <v>25060000</v>
      </c>
      <c r="F14" s="7" t="n">
        <v>30450000</v>
      </c>
      <c r="G14" s="4" t="n"/>
    </row>
    <row r="15">
      <c r="B15" s="6" t="inlineStr">
        <is>
          <t>FAVÖK (TL)</t>
        </is>
      </c>
      <c r="C15" s="7" t="n">
        <v>9860000</v>
      </c>
      <c r="D15" s="7" t="n">
        <v>12960000</v>
      </c>
      <c r="E15" s="7" t="n">
        <v>16110000</v>
      </c>
      <c r="F15" s="7" t="n">
        <v>19950000</v>
      </c>
      <c r="G15" s="4" t="n"/>
    </row>
    <row r="16">
      <c r="B16" s="6" t="inlineStr">
        <is>
          <t>Net Kâr (TL)</t>
        </is>
      </c>
      <c r="C16" s="7" t="n">
        <v>3480000</v>
      </c>
      <c r="D16" s="7" t="n">
        <v>5040000</v>
      </c>
      <c r="E16" s="7" t="n">
        <v>6265000</v>
      </c>
      <c r="F16" s="7" t="n">
        <v>7875000</v>
      </c>
      <c r="G16" s="4" t="n"/>
    </row>
    <row r="17">
      <c r="B17" s="6" t="inlineStr">
        <is>
          <t>Ticari Alacaklar (TL)</t>
        </is>
      </c>
      <c r="C17" s="7" t="n">
        <v>9200000</v>
      </c>
      <c r="D17" s="7" t="n">
        <v>9560000</v>
      </c>
      <c r="E17" s="7" t="n">
        <v>11980000</v>
      </c>
      <c r="F17" s="7" t="n">
        <v>13500000</v>
      </c>
      <c r="G17" s="4" t="n"/>
    </row>
    <row r="18">
      <c r="B18" s="6" t="inlineStr">
        <is>
          <t>Stok (TL) [=satır 7]</t>
        </is>
      </c>
      <c r="C18" s="7" t="n">
        <v>6200000</v>
      </c>
      <c r="D18" s="7" t="n">
        <v>7100000</v>
      </c>
      <c r="E18" s="7" t="n">
        <v>8470000</v>
      </c>
      <c r="F18" s="7" t="n">
        <v>9200000</v>
      </c>
      <c r="G18" s="4" t="n"/>
    </row>
    <row r="19">
      <c r="B19" s="4" t="n"/>
      <c r="C19" s="4" t="n"/>
      <c r="D19" s="4" t="n"/>
      <c r="E19" s="4" t="n"/>
      <c r="F19" s="4" t="n"/>
      <c r="G19" s="4" t="n"/>
    </row>
    <row r="20">
      <c r="B20" s="4" t="n"/>
      <c r="C20" s="4" t="n"/>
      <c r="D20" s="4" t="n"/>
      <c r="E20" s="4" t="n"/>
      <c r="F20" s="4" t="n"/>
      <c r="G20" s="4" t="n"/>
    </row>
    <row r="21">
      <c r="B21" s="3" t="inlineStr">
        <is>
          <t>── LİKİDİTE ORANLARI ─────────────────────</t>
        </is>
      </c>
      <c r="C21" s="4" t="n"/>
      <c r="D21" s="4" t="n"/>
      <c r="E21" s="4" t="n"/>
      <c r="F21" s="4" t="n"/>
      <c r="G21" s="4" t="n"/>
    </row>
    <row r="22">
      <c r="B22" s="5" t="inlineStr">
        <is>
          <t>Oran</t>
        </is>
      </c>
      <c r="C22" s="5" t="inlineStr">
        <is>
          <t>2022</t>
        </is>
      </c>
      <c r="D22" s="5" t="inlineStr">
        <is>
          <t>2023</t>
        </is>
      </c>
      <c r="E22" s="5" t="inlineStr">
        <is>
          <t>2024</t>
        </is>
      </c>
      <c r="F22" s="5" t="inlineStr">
        <is>
          <t>2025E</t>
        </is>
      </c>
      <c r="G22" s="5" t="inlineStr">
        <is>
          <t>Sektör Norm</t>
        </is>
      </c>
    </row>
    <row r="23">
      <c r="B23" s="8" t="inlineStr">
        <is>
          <t>Cari Oran (Dönen/KVB)</t>
        </is>
      </c>
      <c r="C23" s="9">
        <f>C6/C9</f>
        <v/>
      </c>
      <c r="D23" s="9">
        <f>D6/D9</f>
        <v/>
      </c>
      <c r="E23" s="9">
        <f>E6/E9</f>
        <v/>
      </c>
      <c r="F23" s="9">
        <f>F6/F9</f>
        <v/>
      </c>
      <c r="G23" s="10" t="inlineStr">
        <is>
          <t>1.5–2.5</t>
        </is>
      </c>
    </row>
    <row r="24">
      <c r="B24" s="8" t="inlineStr">
        <is>
          <t>Asit Test ((Dönen-Stok)/KVB)</t>
        </is>
      </c>
      <c r="C24" s="9">
        <f>(C6-C7)/C9</f>
        <v/>
      </c>
      <c r="D24" s="9">
        <f>(D6-D7)/D9</f>
        <v/>
      </c>
      <c r="E24" s="9">
        <f>(E6-E7)/E9</f>
        <v/>
      </c>
      <c r="F24" s="9">
        <f>(F6-F7)/F9</f>
        <v/>
      </c>
      <c r="G24" s="10" t="inlineStr">
        <is>
          <t>1.0–1.5</t>
        </is>
      </c>
    </row>
    <row r="25">
      <c r="B25" s="8" t="inlineStr">
        <is>
          <t>Nakit Oran (Nakit/KVB)</t>
        </is>
      </c>
      <c r="C25" s="9">
        <f>C8/C9</f>
        <v/>
      </c>
      <c r="D25" s="9">
        <f>D8/D9</f>
        <v/>
      </c>
      <c r="E25" s="9">
        <f>E8/E9</f>
        <v/>
      </c>
      <c r="F25" s="9">
        <f>F8/F9</f>
        <v/>
      </c>
      <c r="G25" s="10" t="inlineStr">
        <is>
          <t>0.2–0.5</t>
        </is>
      </c>
    </row>
    <row r="26">
      <c r="B26" s="4" t="n"/>
      <c r="C26" s="4" t="n"/>
      <c r="D26" s="4" t="n"/>
      <c r="E26" s="4" t="n"/>
      <c r="F26" s="4" t="n"/>
      <c r="G26" s="4" t="n"/>
    </row>
    <row r="27">
      <c r="B27" s="3" t="inlineStr">
        <is>
          <t>── KÂRLILIK ORANLARI ─────────────────────</t>
        </is>
      </c>
      <c r="C27" s="4" t="n"/>
      <c r="D27" s="4" t="n"/>
      <c r="E27" s="4" t="n"/>
      <c r="F27" s="4" t="n"/>
      <c r="G27" s="4" t="n"/>
    </row>
    <row r="28">
      <c r="B28" s="5" t="inlineStr">
        <is>
          <t>Oran</t>
        </is>
      </c>
      <c r="C28" s="5" t="inlineStr">
        <is>
          <t>2022</t>
        </is>
      </c>
      <c r="D28" s="5" t="inlineStr">
        <is>
          <t>2023</t>
        </is>
      </c>
      <c r="E28" s="5" t="inlineStr">
        <is>
          <t>2024</t>
        </is>
      </c>
      <c r="F28" s="5" t="inlineStr">
        <is>
          <t>2025E</t>
        </is>
      </c>
      <c r="G28" s="5" t="inlineStr">
        <is>
          <t>Sektör Norm</t>
        </is>
      </c>
    </row>
    <row r="29">
      <c r="B29" s="8" t="inlineStr">
        <is>
          <t>Brüt Kâr Marjı</t>
        </is>
      </c>
      <c r="C29" s="11">
        <f>C13/C11</f>
        <v/>
      </c>
      <c r="D29" s="11">
        <f>D13/D11</f>
        <v/>
      </c>
      <c r="E29" s="11">
        <f>E13/E11</f>
        <v/>
      </c>
      <c r="F29" s="11">
        <f>F13/F11</f>
        <v/>
      </c>
      <c r="G29" s="12" t="inlineStr">
        <is>
          <t>%25–35</t>
        </is>
      </c>
    </row>
    <row r="30">
      <c r="B30" s="8" t="inlineStr">
        <is>
          <t>FAVÖK Marjı</t>
        </is>
      </c>
      <c r="C30" s="11">
        <f>C14/C11</f>
        <v/>
      </c>
      <c r="D30" s="11">
        <f>D14/D11</f>
        <v/>
      </c>
      <c r="E30" s="11">
        <f>E14/E11</f>
        <v/>
      </c>
      <c r="F30" s="11">
        <f>F14/F11</f>
        <v/>
      </c>
      <c r="G30" s="12" t="inlineStr">
        <is>
          <t>%15–20</t>
        </is>
      </c>
    </row>
    <row r="31">
      <c r="B31" s="8" t="inlineStr">
        <is>
          <t>Net Kâr Marjı</t>
        </is>
      </c>
      <c r="C31" s="11">
        <f>C15/C11</f>
        <v/>
      </c>
      <c r="D31" s="11">
        <f>D15/D11</f>
        <v/>
      </c>
      <c r="E31" s="11">
        <f>E15/E11</f>
        <v/>
      </c>
      <c r="F31" s="11">
        <f>F15/F11</f>
        <v/>
      </c>
      <c r="G31" s="12" t="inlineStr">
        <is>
          <t>%5–10</t>
        </is>
      </c>
    </row>
    <row r="32">
      <c r="B32" s="8" t="inlineStr">
        <is>
          <t>Özkaynak Kârlılığı (ROE)</t>
        </is>
      </c>
      <c r="C32" s="11">
        <f>C15/C12</f>
        <v/>
      </c>
      <c r="D32" s="11">
        <f>D15/D12</f>
        <v/>
      </c>
      <c r="E32" s="11">
        <f>E15/E12</f>
        <v/>
      </c>
      <c r="F32" s="11">
        <f>F15/F12</f>
        <v/>
      </c>
      <c r="G32" s="12" t="inlineStr">
        <is>
          <t>%15–25</t>
        </is>
      </c>
    </row>
    <row r="33">
      <c r="B33" s="8" t="inlineStr">
        <is>
          <t>Varlık Kârlılığı (ROA)</t>
        </is>
      </c>
      <c r="C33" s="11">
        <f>C15/C10</f>
        <v/>
      </c>
      <c r="D33" s="11">
        <f>D15/D10</f>
        <v/>
      </c>
      <c r="E33" s="11">
        <f>E15/E10</f>
        <v/>
      </c>
      <c r="F33" s="11">
        <f>F15/F10</f>
        <v/>
      </c>
      <c r="G33" s="12" t="inlineStr">
        <is>
          <t>%5–12</t>
        </is>
      </c>
    </row>
    <row r="34">
      <c r="B34" s="4" t="n"/>
      <c r="C34" s="4" t="n"/>
      <c r="D34" s="4" t="n"/>
      <c r="E34" s="4" t="n"/>
      <c r="F34" s="4" t="n"/>
      <c r="G34" s="4" t="n"/>
    </row>
    <row r="35">
      <c r="B35" s="4" t="n"/>
      <c r="C35" s="4" t="n"/>
      <c r="D35" s="4" t="n"/>
      <c r="E35" s="4" t="n"/>
      <c r="F35" s="4" t="n"/>
      <c r="G35" s="4" t="n"/>
    </row>
    <row r="36">
      <c r="B36" s="3" t="inlineStr">
        <is>
          <t>── KALDIRAÇ &amp; DEVİR HIZI ORANLARI ───────</t>
        </is>
      </c>
      <c r="C36" s="4" t="n"/>
      <c r="D36" s="4" t="n"/>
      <c r="E36" s="4" t="n"/>
      <c r="F36" s="4" t="n"/>
      <c r="G36" s="4" t="n"/>
    </row>
    <row r="37">
      <c r="B37" s="5" t="inlineStr">
        <is>
          <t>Oran</t>
        </is>
      </c>
      <c r="C37" s="5" t="inlineStr">
        <is>
          <t>2022</t>
        </is>
      </c>
      <c r="D37" s="5" t="inlineStr">
        <is>
          <t>2023</t>
        </is>
      </c>
      <c r="E37" s="5" t="inlineStr">
        <is>
          <t>2024</t>
        </is>
      </c>
      <c r="F37" s="5" t="inlineStr">
        <is>
          <t>2025E</t>
        </is>
      </c>
      <c r="G37" s="5" t="inlineStr">
        <is>
          <t>Sektör Norm</t>
        </is>
      </c>
    </row>
    <row r="38">
      <c r="B38" s="8" t="inlineStr">
        <is>
          <t>Borç/Özkaynak</t>
        </is>
      </c>
      <c r="C38" s="9">
        <f>C11/C12</f>
        <v/>
      </c>
      <c r="D38" s="9">
        <f>D11/D12</f>
        <v/>
      </c>
      <c r="E38" s="9">
        <f>E11/E12</f>
        <v/>
      </c>
      <c r="F38" s="9">
        <f>F11/F12</f>
        <v/>
      </c>
      <c r="G38" s="13" t="inlineStr">
        <is>
          <t>0.5–1.5 x</t>
        </is>
      </c>
    </row>
    <row r="39">
      <c r="B39" s="8" t="inlineStr">
        <is>
          <t>Finansal Kaldıraç</t>
        </is>
      </c>
      <c r="C39" s="9">
        <f>C10/C12</f>
        <v/>
      </c>
      <c r="D39" s="9">
        <f>D10/D12</f>
        <v/>
      </c>
      <c r="E39" s="9">
        <f>E10/E12</f>
        <v/>
      </c>
      <c r="F39" s="9">
        <f>F10/F12</f>
        <v/>
      </c>
      <c r="G39" s="13" t="inlineStr">
        <is>
          <t>1.5–2.5 x</t>
        </is>
      </c>
    </row>
    <row r="40">
      <c r="B40" s="8" t="inlineStr">
        <is>
          <t>Alacak Devir Hızı</t>
        </is>
      </c>
      <c r="C40" s="14">
        <f>C11/C16</f>
        <v/>
      </c>
      <c r="D40" s="14">
        <f>D11/D16</f>
        <v/>
      </c>
      <c r="E40" s="14">
        <f>E11/E16</f>
        <v/>
      </c>
      <c r="F40" s="14">
        <f>F11/F16</f>
        <v/>
      </c>
      <c r="G40" s="13" t="inlineStr">
        <is>
          <t>4–8 x/yıl</t>
        </is>
      </c>
    </row>
    <row r="41">
      <c r="B41" s="8" t="inlineStr">
        <is>
          <t>Alacak Tahsil Süresi (gün)</t>
        </is>
      </c>
      <c r="C41" s="15">
        <f>365/C40</f>
        <v/>
      </c>
      <c r="D41" s="15">
        <f>365/D40</f>
        <v/>
      </c>
      <c r="E41" s="15">
        <f>365/E40</f>
        <v/>
      </c>
      <c r="F41" s="15">
        <f>365/F40</f>
        <v/>
      </c>
      <c r="G41" s="13" t="inlineStr">
        <is>
          <t>45–90 gün</t>
        </is>
      </c>
    </row>
    <row r="42">
      <c r="B42" s="8" t="inlineStr">
        <is>
          <t>Stok Devir Hızı</t>
        </is>
      </c>
      <c r="C42" s="14">
        <f>C11/C17</f>
        <v/>
      </c>
      <c r="D42" s="14">
        <f>D11/D17</f>
        <v/>
      </c>
      <c r="E42" s="14">
        <f>E11/E17</f>
        <v/>
      </c>
      <c r="F42" s="14">
        <f>F11/F17</f>
        <v/>
      </c>
      <c r="G42" s="13" t="inlineStr">
        <is>
          <t>4–8 x/yıl</t>
        </is>
      </c>
    </row>
    <row r="43">
      <c r="B43" s="8" t="inlineStr">
        <is>
          <t>Stok Tutma Süresi (gün)</t>
        </is>
      </c>
      <c r="C43" s="15">
        <f>365/C42</f>
        <v/>
      </c>
      <c r="D43" s="15">
        <f>365/D42</f>
        <v/>
      </c>
      <c r="E43" s="15">
        <f>365/E42</f>
        <v/>
      </c>
      <c r="F43" s="15">
        <f>365/F42</f>
        <v/>
      </c>
      <c r="G43" s="13" t="inlineStr">
        <is>
          <t>45–90 gün</t>
        </is>
      </c>
    </row>
    <row r="44">
      <c r="B44" s="4" t="n"/>
      <c r="C44" s="4" t="n"/>
      <c r="D44" s="4" t="n"/>
      <c r="E44" s="4" t="n"/>
      <c r="F44" s="4" t="n"/>
      <c r="G44" s="4" t="n"/>
    </row>
    <row r="45">
      <c r="B45" s="4" t="n"/>
      <c r="C45" s="4" t="n"/>
      <c r="D45" s="4" t="n"/>
      <c r="E45" s="4" t="n"/>
      <c r="F45" s="4" t="n"/>
      <c r="G45" s="4" t="n"/>
    </row>
  </sheetData>
  <mergeCells count="6">
    <mergeCell ref="B2:G2"/>
    <mergeCell ref="B36:G36"/>
    <mergeCell ref="B27:G27"/>
    <mergeCell ref="B1:G1"/>
    <mergeCell ref="B4:G4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2026-03-14T11:23:41Z</dcterms:created>
  <dcterms:modified xmlns:dcterms="http://purl.org/dc/terms/" xmlns:xsi="http://www.w3.org/2001/XMLSchema-instance" xsi:type="dcterms:W3CDTF">2026-03-14T11:23:41Z</dcterms:modified>
</cp:coreProperties>
</file>