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ro Hesaplayıcı" sheetId="1" state="visible" r:id="rId1"/>
    <sheet xmlns:r="http://schemas.openxmlformats.org/officeDocument/2006/relationships" name="Kıdem Tazminat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L&quot;"/>
    <numFmt numFmtId="165" formatCode="0.00 &quot;yıl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AAAAAA"/>
      <sz val="9"/>
    </font>
    <font>
      <name val="Arial"/>
      <b val="1"/>
      <color rgb="00FFFFFF"/>
      <sz val="10"/>
    </font>
    <font>
      <name val="Arial"/>
      <b val="1"/>
      <color rgb="001C1917"/>
      <sz val="9"/>
    </font>
    <font>
      <name val="Arial"/>
      <color rgb="001C1917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1C1917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2D3748"/>
      </patternFill>
    </fill>
    <fill>
      <patternFill patternType="solid">
        <fgColor rgb="00374151"/>
      </patternFill>
    </fill>
    <fill>
      <patternFill patternType="solid">
        <fgColor rgb="001D4ED8"/>
      </patternFill>
    </fill>
    <fill>
      <patternFill patternType="solid">
        <fgColor rgb="00F0EDE8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4B556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1" ht="32" customHeight="1">
      <c r="B1" s="1" t="inlineStr">
        <is>
          <t>BORDRO HESAPLAYICI — 2026</t>
        </is>
      </c>
    </row>
    <row r="2" ht="18" customHeight="1">
      <c r="B2" s="2" t="inlineStr">
        <is>
          <t>MuhasebeAkademi — Hamdi Şerbetçi | 01.01.2026 İtibarıyla Geçerli Rakamlar</t>
        </is>
      </c>
    </row>
    <row r="4" ht="22" customHeight="1">
      <c r="B4" s="3" t="inlineStr">
        <is>
          <t>AÇIKLAMA</t>
        </is>
      </c>
      <c r="C4" s="4" t="inlineStr">
        <is>
          <t>ÇALIŞAN 1</t>
        </is>
      </c>
      <c r="D4" s="4" t="inlineStr">
        <is>
          <t>ÇALIŞAN 2</t>
        </is>
      </c>
      <c r="E4" s="4" t="inlineStr">
        <is>
          <t>ÇALIŞAN 3</t>
        </is>
      </c>
    </row>
    <row r="5">
      <c r="B5" s="5" t="inlineStr">
        <is>
          <t>── GİRİŞ VERİLERİ ──────────────────</t>
        </is>
      </c>
      <c r="C5" s="6" t="n"/>
      <c r="D5" s="6" t="n"/>
      <c r="E5" s="6" t="n"/>
    </row>
    <row r="6">
      <c r="B6" s="7" t="inlineStr">
        <is>
          <t>Brüt Ücret (TL)</t>
        </is>
      </c>
      <c r="C6" s="8" t="n">
        <v>33030</v>
      </c>
      <c r="D6" s="8" t="n">
        <v>45000</v>
      </c>
      <c r="E6" s="8" t="n">
        <v>75000</v>
      </c>
    </row>
    <row r="7">
      <c r="B7" s="7" t="inlineStr">
        <is>
          <t>Çalışan Adı / Pozisyon</t>
        </is>
      </c>
      <c r="C7" s="9" t="inlineStr">
        <is>
          <t>Asgari</t>
        </is>
      </c>
      <c r="D7" s="9" t="inlineStr">
        <is>
          <t>Uzman</t>
        </is>
      </c>
      <c r="E7" s="9" t="inlineStr">
        <is>
          <t>Müdür</t>
        </is>
      </c>
    </row>
    <row r="8">
      <c r="B8" s="5" t="inlineStr">
        <is>
          <t>── İŞÇİ KESİNTİLERİ ────────────────</t>
        </is>
      </c>
      <c r="C8" s="6" t="n"/>
      <c r="D8" s="6" t="n"/>
      <c r="E8" s="6" t="n"/>
    </row>
    <row r="9">
      <c r="B9" s="10" t="inlineStr">
        <is>
          <t>SGK Primi İşçi %14,0</t>
        </is>
      </c>
      <c r="C9" s="11">
        <f>C6*0.14</f>
        <v/>
      </c>
      <c r="D9" s="11">
        <f>D6*0.14</f>
        <v/>
      </c>
      <c r="E9" s="11">
        <f>E6*0.14</f>
        <v/>
      </c>
    </row>
    <row r="10">
      <c r="B10" s="10" t="inlineStr">
        <is>
          <t>İşsizlik Sig. İşçi %1,0</t>
        </is>
      </c>
      <c r="C10" s="11">
        <f>C6*0.01</f>
        <v/>
      </c>
      <c r="D10" s="11">
        <f>D6*0.01</f>
        <v/>
      </c>
      <c r="E10" s="11">
        <f>E6*0.01</f>
        <v/>
      </c>
    </row>
    <row r="11">
      <c r="B11" s="12" t="inlineStr">
        <is>
          <t>TOPLAM KESİNTİ</t>
        </is>
      </c>
      <c r="C11" s="13">
        <f>C9+C10</f>
        <v/>
      </c>
      <c r="D11" s="13">
        <f>D9+D10</f>
        <v/>
      </c>
      <c r="E11" s="13">
        <f>E9+E10</f>
        <v/>
      </c>
    </row>
    <row r="12">
      <c r="B12" s="5" t="inlineStr">
        <is>
          <t>── VERGİ &amp; NET ÜCRET ────────────────</t>
        </is>
      </c>
      <c r="C12" s="6" t="n"/>
      <c r="D12" s="6" t="n"/>
      <c r="E12" s="6" t="n"/>
    </row>
    <row r="13">
      <c r="B13" s="10" t="inlineStr">
        <is>
          <t>GV+DV Matrahı</t>
        </is>
      </c>
      <c r="C13" s="11">
        <f>C6-C11</f>
        <v/>
      </c>
      <c r="D13" s="11">
        <f>D6-D11</f>
        <v/>
      </c>
      <c r="E13" s="11">
        <f>E6-E11</f>
        <v/>
      </c>
    </row>
    <row r="14">
      <c r="B14" s="10" t="inlineStr">
        <is>
          <t>Gelir Vergisi İstisnası 2026</t>
        </is>
      </c>
      <c r="C14" s="11">
        <f>MIN(C13,C6*0.15)</f>
        <v/>
      </c>
      <c r="D14" s="11">
        <f>MIN(D13,D6*0.15)</f>
        <v/>
      </c>
      <c r="E14" s="11">
        <f>MIN(E13,E6*0.15)</f>
        <v/>
      </c>
    </row>
    <row r="15">
      <c r="B15" s="10" t="inlineStr">
        <is>
          <t>Ödenecek Gelir Vergisi</t>
        </is>
      </c>
      <c r="C15" s="11">
        <f>MAX(0,C13*0.15-C14)</f>
        <v/>
      </c>
      <c r="D15" s="11">
        <f>MAX(0,D13*0.15-D14)</f>
        <v/>
      </c>
      <c r="E15" s="11">
        <f>MAX(0,E13*0.15-E14)</f>
        <v/>
      </c>
    </row>
    <row r="16">
      <c r="B16" s="10" t="inlineStr">
        <is>
          <t>Damga Vergisi (%0.759)</t>
        </is>
      </c>
      <c r="C16" s="11">
        <f>MAX(0,C13*0.00759-C13*0.00759)</f>
        <v/>
      </c>
      <c r="D16" s="11">
        <f>MAX(0,D13*0.00759-D13*0.00759)</f>
        <v/>
      </c>
      <c r="E16" s="11">
        <f>MAX(0,E13*0.00759-E13*0.00759)</f>
        <v/>
      </c>
    </row>
    <row r="17">
      <c r="B17" s="14" t="inlineStr">
        <is>
          <t>NET ÖDENECEK ÜCRET</t>
        </is>
      </c>
      <c r="C17" s="15">
        <f>C6-C11-C15-C16</f>
        <v/>
      </c>
      <c r="D17" s="15">
        <f>D6-D11-D15-D16</f>
        <v/>
      </c>
      <c r="E17" s="15">
        <f>E6-E11-E15-E16</f>
        <v/>
      </c>
    </row>
    <row r="18">
      <c r="B18" s="6" t="n"/>
      <c r="C18" s="6" t="n"/>
      <c r="D18" s="6" t="n"/>
      <c r="E18" s="6" t="n"/>
    </row>
    <row r="19">
      <c r="B19" s="5" t="inlineStr">
        <is>
          <t>── İŞVEREN MALİYETİ ─────────────────</t>
        </is>
      </c>
      <c r="C19" s="6" t="n"/>
      <c r="D19" s="6" t="n"/>
      <c r="E19" s="6" t="n"/>
    </row>
    <row r="20">
      <c r="B20" s="10" t="inlineStr">
        <is>
          <t>SGK İşveren %20.75</t>
        </is>
      </c>
      <c r="C20" s="11">
        <f>C6*0.2075</f>
        <v/>
      </c>
      <c r="D20" s="11">
        <f>D6*0.2075</f>
        <v/>
      </c>
      <c r="E20" s="11">
        <f>E6*0.2075</f>
        <v/>
      </c>
    </row>
    <row r="21">
      <c r="B21" s="10" t="inlineStr">
        <is>
          <t>İşsizlik Sig. İşveren %2.0</t>
        </is>
      </c>
      <c r="C21" s="11">
        <f>C6*0.02</f>
        <v/>
      </c>
      <c r="D21" s="11">
        <f>D6*0.02</f>
        <v/>
      </c>
      <c r="E21" s="11">
        <f>E6*0.02</f>
        <v/>
      </c>
    </row>
    <row r="22">
      <c r="B22" s="10" t="inlineStr">
        <is>
          <t>Asgari Ücret Desteği (−)</t>
        </is>
      </c>
      <c r="C22" s="16" t="n">
        <v>-1270</v>
      </c>
      <c r="D22" s="16" t="n">
        <v>-1270</v>
      </c>
      <c r="E22" s="16" t="n">
        <v>-1270</v>
      </c>
    </row>
    <row r="23">
      <c r="B23" s="17" t="inlineStr">
        <is>
          <t>TOPLAM İŞVEREN MALİYETİ</t>
        </is>
      </c>
      <c r="C23" s="18">
        <f>C6+C20+C21+C22</f>
        <v/>
      </c>
      <c r="D23" s="18">
        <f>D6+D20+D21+D22</f>
        <v/>
      </c>
      <c r="E23" s="18">
        <f>E6+E20+E21+E22</f>
        <v/>
      </c>
    </row>
    <row r="24">
      <c r="B24" s="6" t="n"/>
      <c r="C24" s="6" t="n"/>
      <c r="D24" s="6" t="n"/>
      <c r="E24" s="6" t="n"/>
    </row>
    <row r="25" ht="18" customHeight="1">
      <c r="B25" s="5" t="inlineStr">
        <is>
          <t>── 2026 SGK PRİM ORANLARI ───────────</t>
        </is>
      </c>
      <c r="C25" s="6" t="n"/>
      <c r="D25" s="6" t="n"/>
      <c r="E25" s="6" t="n"/>
    </row>
    <row r="26">
      <c r="B26" s="19" t="inlineStr">
        <is>
          <t>Prim Türü</t>
        </is>
      </c>
      <c r="C26" s="19" t="inlineStr">
        <is>
          <t>İşçi</t>
        </is>
      </c>
      <c r="D26" s="19" t="inlineStr">
        <is>
          <t>İşveren</t>
        </is>
      </c>
      <c r="E26" s="19" t="inlineStr">
        <is>
          <t>Toplam</t>
        </is>
      </c>
    </row>
    <row r="27">
      <c r="B27" s="20" t="inlineStr">
        <is>
          <t>Uzun Vadeli Sig. (M/Y/Ö)</t>
        </is>
      </c>
      <c r="C27" s="21" t="inlineStr">
        <is>
          <t>%9,0</t>
        </is>
      </c>
      <c r="D27" s="21" t="inlineStr">
        <is>
          <t>%11,0</t>
        </is>
      </c>
      <c r="E27" s="21" t="inlineStr">
        <is>
          <t>%20,0</t>
        </is>
      </c>
    </row>
    <row r="28">
      <c r="B28" s="20" t="inlineStr">
        <is>
          <t>Kısa Vadeli Sig. Kolları</t>
        </is>
      </c>
      <c r="C28" s="21" t="inlineStr">
        <is>
          <t>—</t>
        </is>
      </c>
      <c r="D28" s="21" t="inlineStr">
        <is>
          <t>%2,25</t>
        </is>
      </c>
      <c r="E28" s="21" t="inlineStr">
        <is>
          <t>%2,25</t>
        </is>
      </c>
    </row>
    <row r="29">
      <c r="B29" s="20" t="inlineStr">
        <is>
          <t>Genel Sağlık Sigortası</t>
        </is>
      </c>
      <c r="C29" s="21" t="inlineStr">
        <is>
          <t>%5,0</t>
        </is>
      </c>
      <c r="D29" s="21" t="inlineStr">
        <is>
          <t>%7,5</t>
        </is>
      </c>
      <c r="E29" s="21" t="inlineStr">
        <is>
          <t>%12,5</t>
        </is>
      </c>
    </row>
    <row r="30">
      <c r="B30" s="22" t="inlineStr">
        <is>
          <t>SGK TOPLAM</t>
        </is>
      </c>
      <c r="C30" s="23" t="inlineStr">
        <is>
          <t>%14,0</t>
        </is>
      </c>
      <c r="D30" s="23" t="inlineStr">
        <is>
          <t>%20,75</t>
        </is>
      </c>
      <c r="E30" s="23" t="inlineStr">
        <is>
          <t>%34,75</t>
        </is>
      </c>
    </row>
    <row r="31">
      <c r="B31" s="20" t="inlineStr">
        <is>
          <t>İşsizlik Sigortası</t>
        </is>
      </c>
      <c r="C31" s="21" t="inlineStr">
        <is>
          <t>%1,0</t>
        </is>
      </c>
      <c r="D31" s="21" t="inlineStr">
        <is>
          <t>%2,0</t>
        </is>
      </c>
      <c r="E31" s="21" t="inlineStr">
        <is>
          <t>%3,0</t>
        </is>
      </c>
    </row>
    <row r="32">
      <c r="B32" s="22" t="inlineStr">
        <is>
          <t>GENEL TOPLAM</t>
        </is>
      </c>
      <c r="C32" s="23" t="inlineStr">
        <is>
          <t>%15,0</t>
        </is>
      </c>
      <c r="D32" s="23" t="inlineStr">
        <is>
          <t>%22,75</t>
        </is>
      </c>
      <c r="E32" s="23" t="inlineStr">
        <is>
          <t>%37,75</t>
        </is>
      </c>
    </row>
    <row r="33">
      <c r="B33" s="6" t="n"/>
      <c r="C33" s="6" t="n"/>
      <c r="D33" s="6" t="n"/>
      <c r="E33" s="6" t="n"/>
    </row>
  </sheetData>
  <mergeCells count="7">
    <mergeCell ref="B1:E1"/>
    <mergeCell ref="B8:E8"/>
    <mergeCell ref="B12:E12"/>
    <mergeCell ref="B25:E25"/>
    <mergeCell ref="B5:E5"/>
    <mergeCell ref="B2:E2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  <col width="22" customWidth="1" min="4" max="4"/>
    <col width="3" customWidth="1" min="5" max="5"/>
  </cols>
  <sheetData>
    <row r="1" ht="32" customHeight="1">
      <c r="B1" s="1" t="inlineStr">
        <is>
          <t>KIDEM TAZMİNATI HESAPLAYICI — 2026</t>
        </is>
      </c>
    </row>
    <row r="2">
      <c r="B2" s="2" t="inlineStr">
        <is>
          <t>MuhasebeAkademi | Tavan: 64.948,77 TL (01.01–30.06.2026)</t>
        </is>
      </c>
    </row>
    <row r="4">
      <c r="B4" s="5" t="inlineStr">
        <is>
          <t>── GİRİŞ VERİLERİ ──────────────────────</t>
        </is>
      </c>
      <c r="C4" s="6" t="n"/>
      <c r="D4" s="6" t="n"/>
    </row>
    <row r="5">
      <c r="B5" s="19" t="inlineStr">
        <is>
          <t>AÇIKLAMA</t>
        </is>
      </c>
      <c r="C5" s="19" t="inlineStr">
        <is>
          <t>ÇALIŞAN A</t>
        </is>
      </c>
      <c r="D5" s="19" t="inlineStr">
        <is>
          <t>ÇALIŞAN B</t>
        </is>
      </c>
    </row>
    <row r="6">
      <c r="B6" s="7" t="inlineStr">
        <is>
          <t>İşe Giriş Tarihi</t>
        </is>
      </c>
      <c r="C6" s="9" t="inlineStr">
        <is>
          <t>01.03.2019</t>
        </is>
      </c>
      <c r="D6" s="9" t="inlineStr">
        <is>
          <t>15.07.2016</t>
        </is>
      </c>
    </row>
    <row r="7">
      <c r="B7" s="7" t="inlineStr">
        <is>
          <t>Çıkış Tarihi</t>
        </is>
      </c>
      <c r="C7" s="9" t="inlineStr">
        <is>
          <t>28.02.2026</t>
        </is>
      </c>
      <c r="D7" s="9" t="inlineStr">
        <is>
          <t>31.01.2026</t>
        </is>
      </c>
    </row>
    <row r="8">
      <c r="B8" s="7" t="inlineStr">
        <is>
          <t>Hizmet Süresi (Yıl)</t>
        </is>
      </c>
      <c r="C8" s="24" t="n">
        <v>6.92</v>
      </c>
      <c r="D8" s="24" t="n">
        <v>9.539999999999999</v>
      </c>
    </row>
    <row r="9">
      <c r="B9" s="7" t="inlineStr">
        <is>
          <t>Son Brüt Maaş (TL)</t>
        </is>
      </c>
      <c r="C9" s="8" t="n">
        <v>65000</v>
      </c>
      <c r="D9" s="8" t="n">
        <v>120000</v>
      </c>
    </row>
    <row r="10">
      <c r="B10" s="6" t="n"/>
      <c r="C10" s="6" t="n"/>
      <c r="D10" s="6" t="n"/>
    </row>
    <row r="11">
      <c r="B11" s="5" t="inlineStr">
        <is>
          <t>── HESAPLAMA ────────────────────────────</t>
        </is>
      </c>
      <c r="C11" s="6" t="n"/>
      <c r="D11" s="6" t="n"/>
    </row>
    <row r="12">
      <c r="B12" s="10" t="inlineStr">
        <is>
          <t>Tavan Ücret (01.01.2026)</t>
        </is>
      </c>
      <c r="C12" s="16" t="n">
        <v>64948.77</v>
      </c>
      <c r="D12" s="16" t="n">
        <v>64948.77</v>
      </c>
    </row>
    <row r="13">
      <c r="B13" s="10" t="inlineStr">
        <is>
          <t>Esas Alınacak Ücret (min tavan)</t>
        </is>
      </c>
      <c r="C13" s="11">
        <f>MIN(C9,C12)</f>
        <v/>
      </c>
      <c r="D13" s="11">
        <f>MIN(D9,D12)</f>
        <v/>
      </c>
    </row>
    <row r="14">
      <c r="B14" s="10" t="inlineStr">
        <is>
          <t>Kıdem Tazminatı (Tavan × Yıl)</t>
        </is>
      </c>
      <c r="C14" s="11">
        <f>C13*C8</f>
        <v/>
      </c>
      <c r="D14" s="11">
        <f>D13*D8</f>
        <v/>
      </c>
    </row>
    <row r="15">
      <c r="B15" s="10" t="inlineStr">
        <is>
          <t>Stopaj Matrahı (İHRAÇ EDİLMİŞ)</t>
        </is>
      </c>
      <c r="C15" s="11">
        <f>MAX(0,C14-C8*0)</f>
        <v/>
      </c>
      <c r="D15" s="11">
        <f>MAX(0,D14-D8*0)</f>
        <v/>
      </c>
    </row>
    <row r="16">
      <c r="B16" s="14" t="inlineStr">
        <is>
          <t>ÖDENECEK KIDEM TAZMİNATI (TL)</t>
        </is>
      </c>
      <c r="C16" s="15">
        <f>C14</f>
        <v/>
      </c>
      <c r="D16" s="15">
        <f>D14</f>
        <v/>
      </c>
    </row>
    <row r="17">
      <c r="B17" s="6" t="n"/>
      <c r="C17" s="6" t="n"/>
      <c r="D17" s="6" t="n"/>
    </row>
    <row r="18">
      <c r="B18" s="6" t="n"/>
      <c r="C18" s="6" t="n"/>
      <c r="D18" s="6" t="n"/>
    </row>
    <row r="19">
      <c r="B19" s="5" t="inlineStr">
        <is>
          <t>── MUHASEBe KAYDI (örnek) ──────────────</t>
        </is>
      </c>
      <c r="C19" s="6" t="n"/>
      <c r="D19" s="6" t="n"/>
    </row>
    <row r="20">
      <c r="B20" s="10" t="inlineStr">
        <is>
          <t>770 Genel Yönetim Giderleri  (BORÇ)</t>
        </is>
      </c>
      <c r="C20" s="25">
        <f>C16</f>
        <v/>
      </c>
      <c r="D20" s="25">
        <f>D16</f>
        <v/>
      </c>
    </row>
    <row r="21">
      <c r="B21" s="10" t="inlineStr">
        <is>
          <t xml:space="preserve">  472 Kıdem Tazminatı Karşılıkları  (ALACAK)</t>
        </is>
      </c>
      <c r="C21" s="25">
        <f>C16</f>
        <v/>
      </c>
      <c r="D21" s="25">
        <f>D16</f>
        <v/>
      </c>
    </row>
    <row r="22">
      <c r="B22" s="6" t="n"/>
      <c r="C22" s="6" t="n"/>
      <c r="D22" s="6" t="n"/>
    </row>
    <row r="23">
      <c r="B23" s="6" t="n"/>
      <c r="C23" s="6" t="n"/>
      <c r="D23" s="6" t="n"/>
    </row>
  </sheetData>
  <mergeCells count="5">
    <mergeCell ref="B11:D11"/>
    <mergeCell ref="B19:D19"/>
    <mergeCell ref="B1:D1"/>
    <mergeCell ref="B4:D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2026-03-14T11:23:41Z</dcterms:created>
  <dcterms:modified xmlns:dcterms="http://purl.org/dc/terms/" xmlns:xsi="http://www.w3.org/2001/XMLSchema-instance" xsi:type="dcterms:W3CDTF">2026-03-14T11:23:41Z</dcterms:modified>
</cp:coreProperties>
</file>