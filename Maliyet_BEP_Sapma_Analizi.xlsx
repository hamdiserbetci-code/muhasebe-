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P Analizi" sheetId="1" state="visible" r:id="rId1"/>
    <sheet xmlns:r="http://schemas.openxmlformats.org/officeDocument/2006/relationships" name="Sipariş Maliyet Kartı" sheetId="2" state="visible" r:id="rId2"/>
    <sheet xmlns:r="http://schemas.openxmlformats.org/officeDocument/2006/relationships" name="Sapma Analiz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TL&quot;"/>
    <numFmt numFmtId="165" formatCode="0.0%"/>
    <numFmt numFmtId="166" formatCode="#,##0 &quot;adet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AAAA"/>
      <sz val="9"/>
    </font>
    <font>
      <name val="Arial"/>
      <b val="1"/>
      <color rgb="001C1917"/>
      <sz val="9"/>
    </font>
    <font>
      <name val="Arial"/>
      <b val="1"/>
      <color rgb="00FFFFFF"/>
      <sz val="9"/>
    </font>
    <font>
      <name val="Arial"/>
      <color rgb="001C1917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1C1917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2D3748"/>
      </patternFill>
    </fill>
    <fill>
      <patternFill patternType="solid">
        <fgColor rgb="00F0EDE8"/>
      </patternFill>
    </fill>
    <fill>
      <patternFill patternType="solid">
        <fgColor rgb="004B5563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166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64" fontId="7" fillId="0" borderId="1" pivotButton="0" quotePrefix="0" xfId="0"/>
    <xf numFmtId="0" fontId="7" fillId="0" borderId="1" applyAlignment="1" pivotButton="0" quotePrefix="0" xfId="0">
      <alignment horizontal="right"/>
    </xf>
    <xf numFmtId="0" fontId="8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/>
    </xf>
    <xf numFmtId="0" fontId="8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/>
    </xf>
    <xf numFmtId="0" fontId="11" fillId="2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0" customWidth="1" min="3" max="3"/>
    <col width="20" customWidth="1" min="4" max="4"/>
    <col width="20" customWidth="1" min="5" max="5"/>
    <col width="3" customWidth="1" min="6" max="6"/>
  </cols>
  <sheetData>
    <row r="1" ht="32" customHeight="1">
      <c r="B1" s="1" t="inlineStr">
        <is>
          <t>BAŞABAŞ NOKTASI (BEP) ANALİZİ</t>
        </is>
      </c>
    </row>
    <row r="2">
      <c r="B2" s="2" t="inlineStr">
        <is>
          <t>MuhasebeAkademi — Katkı Payı ve Senaryo Analizi</t>
        </is>
      </c>
    </row>
    <row r="4">
      <c r="B4" s="3" t="inlineStr">
        <is>
          <t>── VARSAYIMLAR (mavi = değiştirilebilir) ──</t>
        </is>
      </c>
      <c r="C4" s="4" t="n"/>
      <c r="D4" s="4" t="n"/>
      <c r="E4" s="4" t="n"/>
    </row>
    <row r="5">
      <c r="B5" s="5" t="inlineStr">
        <is>
          <t>PARAMETRE</t>
        </is>
      </c>
      <c r="C5" s="5" t="inlineStr">
        <is>
          <t>ÜRÜN A</t>
        </is>
      </c>
      <c r="D5" s="5" t="inlineStr">
        <is>
          <t>ÜRÜN B</t>
        </is>
      </c>
      <c r="E5" s="5" t="inlineStr">
        <is>
          <t>ÜRÜN C</t>
        </is>
      </c>
    </row>
    <row r="6">
      <c r="B6" s="6" t="inlineStr">
        <is>
          <t>Satış Fiyatı (TL/birim)</t>
        </is>
      </c>
      <c r="C6" s="7" t="n">
        <v>4800</v>
      </c>
      <c r="D6" s="7" t="n">
        <v>2400</v>
      </c>
      <c r="E6" s="7" t="n">
        <v>9600</v>
      </c>
    </row>
    <row r="7">
      <c r="B7" s="6" t="inlineStr">
        <is>
          <t>Değişken Birim Maliyet (TL)</t>
        </is>
      </c>
      <c r="C7" s="7" t="n">
        <v>2880</v>
      </c>
      <c r="D7" s="7" t="n">
        <v>1560</v>
      </c>
      <c r="E7" s="7" t="n">
        <v>6240</v>
      </c>
    </row>
    <row r="8">
      <c r="B8" s="6" t="inlineStr">
        <is>
          <t>Toplam Sabit Maliyet (TL/ay)</t>
        </is>
      </c>
      <c r="C8" s="7" t="n">
        <v>260000</v>
      </c>
      <c r="D8" s="7" t="n">
        <v>180000</v>
      </c>
      <c r="E8" s="7" t="n">
        <v>420000</v>
      </c>
    </row>
    <row r="9">
      <c r="B9" s="6" t="inlineStr">
        <is>
          <t>Hedef Kâr (TL/ay)</t>
        </is>
      </c>
      <c r="C9" s="7" t="n">
        <v>100000</v>
      </c>
      <c r="D9" s="7" t="n">
        <v>80000</v>
      </c>
      <c r="E9" s="7" t="n">
        <v>200000</v>
      </c>
    </row>
    <row r="10">
      <c r="B10" s="4" t="n"/>
      <c r="C10" s="4" t="n"/>
      <c r="D10" s="4" t="n"/>
      <c r="E10" s="4" t="n"/>
    </row>
    <row r="11">
      <c r="B11" s="3" t="inlineStr">
        <is>
          <t>── HESAPLAMALAR ─────────────────────────</t>
        </is>
      </c>
      <c r="C11" s="4" t="n"/>
      <c r="D11" s="4" t="n"/>
      <c r="E11" s="4" t="n"/>
    </row>
    <row r="12">
      <c r="B12" s="8" t="inlineStr">
        <is>
          <t>Birim Katkı Payı (SP − DVM)</t>
        </is>
      </c>
      <c r="C12" s="9">
        <f>C6-C7</f>
        <v/>
      </c>
      <c r="D12" s="9">
        <f>D6-D7</f>
        <v/>
      </c>
      <c r="E12" s="9">
        <f>E6-E7</f>
        <v/>
      </c>
    </row>
    <row r="13">
      <c r="B13" s="8" t="inlineStr">
        <is>
          <t>Katkı Payı Oranı (%)</t>
        </is>
      </c>
      <c r="C13" s="10">
        <f>C12/C6</f>
        <v/>
      </c>
      <c r="D13" s="10">
        <f>D12/D6</f>
        <v/>
      </c>
      <c r="E13" s="10">
        <f>E12/E6</f>
        <v/>
      </c>
    </row>
    <row r="14">
      <c r="B14" s="11" t="inlineStr">
        <is>
          <t>BEP (birim/ay)</t>
        </is>
      </c>
      <c r="C14" s="12">
        <f>CEILING(C8/C12,1)</f>
        <v/>
      </c>
      <c r="D14" s="12">
        <f>CEILING(D8/D12,1)</f>
        <v/>
      </c>
      <c r="E14" s="12">
        <f>CEILING(E8/E12,1)</f>
        <v/>
      </c>
    </row>
    <row r="15">
      <c r="B15" s="11" t="inlineStr">
        <is>
          <t>BEP (TL/ay)</t>
        </is>
      </c>
      <c r="C15" s="13">
        <f>C8/C13</f>
        <v/>
      </c>
      <c r="D15" s="13">
        <f>D8/D13</f>
        <v/>
      </c>
      <c r="E15" s="13">
        <f>E8/E13</f>
        <v/>
      </c>
    </row>
    <row r="16">
      <c r="B16" s="8" t="inlineStr">
        <is>
          <t>Hedef Kâr için Satış (birim)</t>
        </is>
      </c>
      <c r="C16" s="14">
        <f>CEILING((C8+C9)/C12,1)</f>
        <v/>
      </c>
      <c r="D16" s="14">
        <f>CEILING((D8+D9)/D12,1)</f>
        <v/>
      </c>
      <c r="E16" s="14">
        <f>CEILING((E8+E9)/E12,1)</f>
        <v/>
      </c>
    </row>
    <row r="17">
      <c r="B17" s="8" t="inlineStr">
        <is>
          <t>Hedef Kâr için Satış (TL)</t>
        </is>
      </c>
      <c r="C17" s="9">
        <f>(C8+C9)/C13</f>
        <v/>
      </c>
      <c r="D17" s="9">
        <f>(D8+D9)/D13</f>
        <v/>
      </c>
      <c r="E17" s="9">
        <f>(E8+E9)/E13</f>
        <v/>
      </c>
    </row>
    <row r="18">
      <c r="B18" s="4" t="n"/>
      <c r="C18" s="4" t="n"/>
      <c r="D18" s="4" t="n"/>
      <c r="E18" s="4" t="n"/>
    </row>
    <row r="19">
      <c r="B19" s="3" t="inlineStr">
        <is>
          <t>── SENARYO: FİYAT DEĞİŞİMİNİN BEP'E ETKİSİ ──</t>
        </is>
      </c>
      <c r="C19" s="4" t="n"/>
      <c r="D19" s="4" t="n"/>
      <c r="E19" s="4" t="n"/>
    </row>
    <row r="20">
      <c r="B20" s="5" t="inlineStr">
        <is>
          <t>Fiyat Değişimi</t>
        </is>
      </c>
      <c r="C20" s="5" t="inlineStr">
        <is>
          <t>Yeni SP (A)</t>
        </is>
      </c>
      <c r="D20" s="5" t="inlineStr">
        <is>
          <t>Yeni KP (A)</t>
        </is>
      </c>
      <c r="E20" s="5" t="inlineStr">
        <is>
          <t>Yeni BEP (adet)</t>
        </is>
      </c>
    </row>
    <row r="21">
      <c r="B21" s="15" t="inlineStr">
        <is>
          <t>%-15</t>
        </is>
      </c>
      <c r="C21" s="16">
        <f>C6*(1+-0.15)</f>
        <v/>
      </c>
      <c r="D21" s="16">
        <f>C213-C7</f>
        <v/>
      </c>
      <c r="E21" s="17">
        <f>IF(C214&gt;0,CEILING(C8/C214,1),"→ BEP YOK")</f>
        <v/>
      </c>
    </row>
    <row r="22">
      <c r="B22" s="15" t="inlineStr">
        <is>
          <t>%-10</t>
        </is>
      </c>
      <c r="C22" s="16">
        <f>C6*(1+-0.1)</f>
        <v/>
      </c>
      <c r="D22" s="16">
        <f>C223-C7</f>
        <v/>
      </c>
      <c r="E22" s="17">
        <f>IF(C224&gt;0,CEILING(C8/C224,1),"→ BEP YOK")</f>
        <v/>
      </c>
    </row>
    <row r="23">
      <c r="B23" s="15" t="inlineStr">
        <is>
          <t>%-5</t>
        </is>
      </c>
      <c r="C23" s="16">
        <f>C6*(1+-0.05)</f>
        <v/>
      </c>
      <c r="D23" s="16">
        <f>C233-C7</f>
        <v/>
      </c>
      <c r="E23" s="17">
        <f>IF(C234&gt;0,CEILING(C8/C234,1),"→ BEP YOK")</f>
        <v/>
      </c>
    </row>
    <row r="24">
      <c r="B24" s="18" t="inlineStr">
        <is>
          <t>%+0</t>
        </is>
      </c>
      <c r="C24" s="16">
        <f>C6*(1+0)</f>
        <v/>
      </c>
      <c r="D24" s="16">
        <f>C243-C7</f>
        <v/>
      </c>
      <c r="E24" s="17">
        <f>IF(C244&gt;0,CEILING(C8/C244,1),"→ BEP YOK")</f>
        <v/>
      </c>
    </row>
    <row r="25">
      <c r="B25" s="15" t="inlineStr">
        <is>
          <t>%+5</t>
        </is>
      </c>
      <c r="C25" s="16">
        <f>C6*(1+0.05)</f>
        <v/>
      </c>
      <c r="D25" s="16">
        <f>C253-C7</f>
        <v/>
      </c>
      <c r="E25" s="17">
        <f>IF(C254&gt;0,CEILING(C8/C254,1),"→ BEP YOK")</f>
        <v/>
      </c>
    </row>
    <row r="26">
      <c r="B26" s="15" t="inlineStr">
        <is>
          <t>%+10</t>
        </is>
      </c>
      <c r="C26" s="16">
        <f>C6*(1+0.1)</f>
        <v/>
      </c>
      <c r="D26" s="16">
        <f>C263-C7</f>
        <v/>
      </c>
      <c r="E26" s="17">
        <f>IF(C264&gt;0,CEILING(C8/C264,1),"→ BEP YOK")</f>
        <v/>
      </c>
    </row>
    <row r="27">
      <c r="B27" s="15" t="inlineStr">
        <is>
          <t>%+15</t>
        </is>
      </c>
      <c r="C27" s="16">
        <f>C6*(1+0.15)</f>
        <v/>
      </c>
      <c r="D27" s="16">
        <f>C273-C7</f>
        <v/>
      </c>
      <c r="E27" s="17">
        <f>IF(C274&gt;0,CEILING(C8/C274,1),"→ BEP YOK")</f>
        <v/>
      </c>
    </row>
    <row r="28">
      <c r="B28" s="4" t="n"/>
      <c r="C28" s="4" t="n"/>
      <c r="D28" s="4" t="n"/>
      <c r="E28" s="4" t="n"/>
    </row>
  </sheetData>
  <mergeCells count="5">
    <mergeCell ref="B1:E1"/>
    <mergeCell ref="B4:E4"/>
    <mergeCell ref="B11:E11"/>
    <mergeCell ref="B19:E19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32" customHeight="1">
      <c r="B1" s="1" t="inlineStr">
        <is>
          <t>SİPARİŞ MALİYET KARTI</t>
        </is>
      </c>
    </row>
    <row r="2">
      <c r="B2" s="2" t="inlineStr">
        <is>
          <t>MuhasebeAkademi — İş Emri Bazlı Maliyet Takibi</t>
        </is>
      </c>
    </row>
    <row r="4">
      <c r="B4" s="3" t="inlineStr">
        <is>
          <t>── İŞ EMRİ BİLGİLERİ ────────────────────────</t>
        </is>
      </c>
      <c r="C4" s="4" t="n"/>
      <c r="D4" s="4" t="n"/>
      <c r="E4" s="4" t="n"/>
      <c r="F4" s="4" t="n"/>
    </row>
    <row r="5">
      <c r="B5" s="19" t="inlineStr">
        <is>
          <t>İş Emri No</t>
        </is>
      </c>
      <c r="C5" s="20" t="inlineStr">
        <is>
          <t>2026-047</t>
        </is>
      </c>
      <c r="D5" s="4" t="n"/>
      <c r="E5" s="4" t="n"/>
      <c r="F5" s="4" t="n"/>
    </row>
    <row r="6">
      <c r="B6" s="19" t="inlineStr">
        <is>
          <t>Müşteri</t>
        </is>
      </c>
      <c r="C6" s="20" t="inlineStr">
        <is>
          <t>Ege Tekstil A.Ş.</t>
        </is>
      </c>
      <c r="D6" s="4" t="n"/>
      <c r="E6" s="4" t="n"/>
      <c r="F6" s="4" t="n"/>
    </row>
    <row r="7">
      <c r="B7" s="19" t="inlineStr">
        <is>
          <t>Ürün Açıklaması</t>
        </is>
      </c>
      <c r="C7" s="20" t="inlineStr">
        <is>
          <t>Özel Dokuma Makinesi</t>
        </is>
      </c>
      <c r="D7" s="4" t="n"/>
      <c r="E7" s="4" t="n"/>
      <c r="F7" s="4" t="n"/>
    </row>
    <row r="8">
      <c r="B8" s="19" t="inlineStr">
        <is>
          <t>Başlangıç Tarihi</t>
        </is>
      </c>
      <c r="C8" s="20" t="inlineStr">
        <is>
          <t>01.02.2026</t>
        </is>
      </c>
      <c r="D8" s="4" t="n"/>
      <c r="E8" s="4" t="n"/>
      <c r="F8" s="4" t="n"/>
    </row>
    <row r="9">
      <c r="B9" s="19" t="inlineStr">
        <is>
          <t>Bitiş Tarihi</t>
        </is>
      </c>
      <c r="C9" s="20" t="inlineStr">
        <is>
          <t>28.02.2026</t>
        </is>
      </c>
      <c r="D9" s="4" t="n"/>
      <c r="E9" s="4" t="n"/>
      <c r="F9" s="4" t="n"/>
    </row>
    <row r="10">
      <c r="B10" s="19" t="inlineStr">
        <is>
          <t>Miktar</t>
        </is>
      </c>
      <c r="C10" s="20" t="inlineStr">
        <is>
          <t>1 adet</t>
        </is>
      </c>
      <c r="D10" s="4" t="n"/>
      <c r="E10" s="4" t="n"/>
      <c r="F10" s="4" t="n"/>
    </row>
    <row r="11">
      <c r="B11" s="4" t="n"/>
      <c r="C11" s="4" t="n"/>
      <c r="D11" s="4" t="n"/>
      <c r="E11" s="4" t="n"/>
      <c r="F11" s="4" t="n"/>
    </row>
    <row r="12">
      <c r="B12" s="3" t="inlineStr">
        <is>
          <t>── MALİYET DETAYI ─────────────────────────────</t>
        </is>
      </c>
      <c r="C12" s="4" t="n"/>
      <c r="D12" s="4" t="n"/>
      <c r="E12" s="4" t="n"/>
      <c r="F12" s="4" t="n"/>
    </row>
    <row r="13">
      <c r="B13" s="5" t="inlineStr">
        <is>
          <t>KALEM</t>
        </is>
      </c>
      <c r="C13" s="5" t="inlineStr">
        <is>
          <t>AÇIKLAMA</t>
        </is>
      </c>
      <c r="D13" s="5" t="inlineStr">
        <is>
          <t>MİKTAR</t>
        </is>
      </c>
      <c r="E13" s="5" t="inlineStr">
        <is>
          <t>BİRİM MALİYET</t>
        </is>
      </c>
      <c r="F13" s="5" t="inlineStr">
        <is>
          <t>TOPLAM (TL)</t>
        </is>
      </c>
    </row>
    <row r="14">
      <c r="B14" s="21" t="inlineStr">
        <is>
          <t>DIMM</t>
        </is>
      </c>
      <c r="C14" s="8" t="inlineStr">
        <is>
          <t>Çelik profil (kg)</t>
        </is>
      </c>
      <c r="D14" s="22" t="n">
        <v>850</v>
      </c>
      <c r="E14" s="23" t="n">
        <v>95</v>
      </c>
      <c r="F14" s="24">
        <f>D14*E14</f>
        <v/>
      </c>
    </row>
    <row r="15">
      <c r="B15" s="21" t="inlineStr">
        <is>
          <t>DIMM</t>
        </is>
      </c>
      <c r="C15" s="8" t="inlineStr">
        <is>
          <t>Rulman seti (adet)</t>
        </is>
      </c>
      <c r="D15" s="22" t="n">
        <v>12</v>
      </c>
      <c r="E15" s="23" t="n">
        <v>3200</v>
      </c>
      <c r="F15" s="24">
        <f>D15*E15</f>
        <v/>
      </c>
    </row>
    <row r="16">
      <c r="B16" s="21" t="inlineStr">
        <is>
          <t>DIMM</t>
        </is>
      </c>
      <c r="C16" s="8" t="inlineStr">
        <is>
          <t>Elektronik kart</t>
        </is>
      </c>
      <c r="D16" s="22" t="n">
        <v>4</v>
      </c>
      <c r="E16" s="23" t="n">
        <v>8750</v>
      </c>
      <c r="F16" s="24">
        <f>D16*E16</f>
        <v/>
      </c>
    </row>
    <row r="17">
      <c r="B17" s="21" t="inlineStr">
        <is>
          <t>DIMM</t>
        </is>
      </c>
      <c r="C17" s="8" t="inlineStr">
        <is>
          <t>Ambalaj ve diğer</t>
        </is>
      </c>
      <c r="D17" s="22" t="n">
        <v>1</v>
      </c>
      <c r="E17" s="23" t="n">
        <v>4500</v>
      </c>
      <c r="F17" s="24">
        <f>D17*E17</f>
        <v/>
      </c>
    </row>
    <row r="18">
      <c r="B18" s="25" t="inlineStr">
        <is>
          <t>Dİ</t>
        </is>
      </c>
      <c r="C18" s="8" t="inlineStr">
        <is>
          <t>Kaynak işçilik (saat)</t>
        </is>
      </c>
      <c r="D18" s="22" t="n">
        <v>280</v>
      </c>
      <c r="E18" s="23" t="n">
        <v>220</v>
      </c>
      <c r="F18" s="24">
        <f>D18*E18</f>
        <v/>
      </c>
    </row>
    <row r="19">
      <c r="B19" s="25" t="inlineStr">
        <is>
          <t>Dİ</t>
        </is>
      </c>
      <c r="C19" s="8" t="inlineStr">
        <is>
          <t>Montaj işçilik (saat)</t>
        </is>
      </c>
      <c r="D19" s="22" t="n">
        <v>340</v>
      </c>
      <c r="E19" s="23" t="n">
        <v>220</v>
      </c>
      <c r="F19" s="24">
        <f>D19*E19</f>
        <v/>
      </c>
    </row>
    <row r="20">
      <c r="B20" s="18" t="inlineStr">
        <is>
          <t>GÜG</t>
        </is>
      </c>
      <c r="C20" s="8" t="inlineStr">
        <is>
          <t>Makine saati × oran</t>
        </is>
      </c>
      <c r="D20" s="22" t="n">
        <v>420</v>
      </c>
      <c r="E20" s="23" t="n">
        <v>180</v>
      </c>
      <c r="F20" s="24">
        <f>D20*E20</f>
        <v/>
      </c>
    </row>
    <row r="21">
      <c r="B21" s="18" t="inlineStr">
        <is>
          <t>GÜG</t>
        </is>
      </c>
      <c r="C21" s="8" t="inlineStr">
        <is>
          <t>Enerji ve sarf</t>
        </is>
      </c>
      <c r="D21" s="22" t="n">
        <v>1</v>
      </c>
      <c r="E21" s="23" t="n">
        <v>8400</v>
      </c>
      <c r="F21" s="24">
        <f>D21*E21</f>
        <v/>
      </c>
    </row>
    <row r="22">
      <c r="B22" s="26" t="inlineStr">
        <is>
          <t>TOPLAM ÜRETİM MALİYETİ</t>
        </is>
      </c>
      <c r="C22" s="4" t="n"/>
      <c r="D22" s="4" t="n"/>
      <c r="E22" s="4" t="n"/>
      <c r="F22" s="27">
        <f>SUM(F14:F21)</f>
        <v/>
      </c>
    </row>
    <row r="23">
      <c r="B23" s="19" t="inlineStr">
        <is>
          <t>Satış Fiyatı (hedef)</t>
        </is>
      </c>
      <c r="C23" s="28" t="inlineStr"/>
      <c r="D23" s="4" t="n"/>
      <c r="E23" s="4" t="n"/>
      <c r="F23" s="29" t="n">
        <v>520000</v>
      </c>
    </row>
    <row r="24">
      <c r="B24" s="30" t="inlineStr">
        <is>
          <t>BRÜT KAR (TL)</t>
        </is>
      </c>
      <c r="C24" s="4" t="n"/>
      <c r="D24" s="4" t="n"/>
      <c r="E24" s="4" t="n"/>
      <c r="F24" s="31">
        <f>F23-F22</f>
        <v/>
      </c>
    </row>
  </sheetData>
  <mergeCells count="6">
    <mergeCell ref="B4:F4"/>
    <mergeCell ref="B12:F12"/>
    <mergeCell ref="B2:F2"/>
    <mergeCell ref="B24:E24"/>
    <mergeCell ref="B1:F1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22" customWidth="1" min="6" max="6"/>
    <col width="3" customWidth="1" min="7" max="7"/>
  </cols>
  <sheetData>
    <row r="1" ht="32" customHeight="1">
      <c r="B1" s="1" t="inlineStr">
        <is>
          <t>STANDART MALİYET SAPMA ANALİZİ</t>
        </is>
      </c>
    </row>
    <row r="2">
      <c r="B2" s="2" t="inlineStr">
        <is>
          <t>MuhasebeAkademi — Elverişli/Elverişsiz Sapma Tespiti</t>
        </is>
      </c>
    </row>
    <row r="4">
      <c r="B4" s="5" t="inlineStr">
        <is>
          <t>PARAMETRE</t>
        </is>
      </c>
      <c r="C4" s="5" t="inlineStr">
        <is>
          <t>STD</t>
        </is>
      </c>
      <c r="D4" s="5" t="inlineStr">
        <is>
          <t>GERÇEK</t>
        </is>
      </c>
      <c r="E4" s="5" t="inlineStr">
        <is>
          <t>SAPMA (TL)</t>
        </is>
      </c>
      <c r="F4" s="5" t="inlineStr">
        <is>
          <t>DURUM</t>
        </is>
      </c>
    </row>
    <row r="5">
      <c r="B5" s="3" t="inlineStr">
        <is>
          <t>── MALZEME ───────────────────</t>
        </is>
      </c>
      <c r="C5" s="4" t="n"/>
      <c r="D5" s="4" t="n"/>
      <c r="E5" s="4" t="n"/>
      <c r="F5" s="4" t="n"/>
    </row>
    <row r="6">
      <c r="B6" s="8" t="inlineStr">
        <is>
          <t>Standart Fiyat (TL/kg)</t>
        </is>
      </c>
      <c r="C6" s="32" t="n">
        <v>40</v>
      </c>
      <c r="D6" s="32" t="n">
        <v>38</v>
      </c>
      <c r="E6" s="4" t="n"/>
      <c r="F6" s="4" t="n"/>
    </row>
    <row r="7">
      <c r="B7" s="8" t="inlineStr">
        <is>
          <t>Gerçek Satın Alma (kg)</t>
        </is>
      </c>
      <c r="C7" s="32" t="n">
        <v>5000</v>
      </c>
      <c r="D7" s="32" t="n">
        <v>5200</v>
      </c>
      <c r="E7" s="4" t="n"/>
      <c r="F7" s="4" t="n"/>
    </row>
    <row r="8">
      <c r="B8" s="8" t="inlineStr">
        <is>
          <t>Gerçek Kullanım (kg)</t>
        </is>
      </c>
      <c r="C8" s="32" t="n">
        <v>5000</v>
      </c>
      <c r="D8" s="32" t="n">
        <v>5100</v>
      </c>
      <c r="E8" s="4" t="n"/>
      <c r="F8" s="4" t="n"/>
    </row>
    <row r="9">
      <c r="B9" s="8" t="inlineStr">
        <is>
          <t>Fiyat Sapması</t>
        </is>
      </c>
      <c r="C9" s="4" t="n"/>
      <c r="D9" s="4" t="n"/>
      <c r="E9" s="33">
        <f>(C7-C8)*D9</f>
        <v/>
      </c>
      <c r="F9" s="34">
        <f>IF(E9&gt;0,"✓ ELVERİŞLİ","✗ ELVERİŞSİZ")</f>
        <v/>
      </c>
    </row>
    <row r="10">
      <c r="B10" s="8" t="inlineStr">
        <is>
          <t>Miktar Sapması</t>
        </is>
      </c>
      <c r="C10" s="4" t="n"/>
      <c r="D10" s="4" t="n"/>
      <c r="E10" s="33">
        <f>(C9-D9)*C7</f>
        <v/>
      </c>
      <c r="F10" s="34">
        <f>IF(E10&gt;0,"✓ ELVERİŞLİ","✗ ELVERİŞSİZ")</f>
        <v/>
      </c>
    </row>
    <row r="11">
      <c r="B11" s="3" t="inlineStr">
        <is>
          <t>── İŞÇİLİK ──────────────────</t>
        </is>
      </c>
      <c r="C11" s="4" t="n"/>
      <c r="D11" s="4" t="n"/>
      <c r="E11" s="4" t="n"/>
      <c r="F11" s="4" t="n"/>
    </row>
    <row r="12">
      <c r="B12" s="8" t="inlineStr">
        <is>
          <t>Standart Ücret (TL/saat)</t>
        </is>
      </c>
      <c r="C12" s="32" t="n">
        <v>220</v>
      </c>
      <c r="D12" s="32" t="n">
        <v>230</v>
      </c>
      <c r="E12" s="4" t="n"/>
      <c r="F12" s="4" t="n"/>
    </row>
    <row r="13">
      <c r="B13" s="8" t="inlineStr">
        <is>
          <t>Standart Saat (birim başına)</t>
        </is>
      </c>
      <c r="C13" s="32" t="n">
        <v>2</v>
      </c>
      <c r="D13" s="4" t="n"/>
      <c r="E13" s="4" t="n"/>
      <c r="F13" s="4" t="n"/>
    </row>
    <row r="14">
      <c r="B14" s="8" t="inlineStr">
        <is>
          <t>Gerçek Üretim (birim)</t>
        </is>
      </c>
      <c r="C14" s="32" t="n">
        <v>1000</v>
      </c>
      <c r="D14" s="4" t="n"/>
      <c r="E14" s="4" t="n"/>
      <c r="F14" s="4" t="n"/>
    </row>
    <row r="15">
      <c r="B15" s="8" t="inlineStr">
        <is>
          <t>Gerçek Saat (toplam)</t>
        </is>
      </c>
      <c r="C15" s="4" t="n"/>
      <c r="D15" s="32" t="n">
        <v>2050</v>
      </c>
      <c r="E15" s="4" t="n"/>
      <c r="F15" s="4" t="n"/>
    </row>
    <row r="16">
      <c r="B16" s="8" t="inlineStr">
        <is>
          <t>Ücret Sapması</t>
        </is>
      </c>
      <c r="C16" s="4" t="n"/>
      <c r="D16" s="4" t="n"/>
      <c r="E16" s="33">
        <f>(C13-D13)*D16</f>
        <v/>
      </c>
      <c r="F16" s="34">
        <f>IF(E16&gt;0,"✓ ELVERİŞLİ","✗ ELVERİŞSİZ")</f>
        <v/>
      </c>
    </row>
    <row r="17">
      <c r="B17" s="8" t="inlineStr">
        <is>
          <t>Verimlilik Sapması</t>
        </is>
      </c>
      <c r="C17" s="4" t="n"/>
      <c r="D17" s="4" t="n"/>
      <c r="E17" s="33">
        <f>(C14*C15-D16)*C13</f>
        <v/>
      </c>
      <c r="F17" s="34">
        <f>IF(E17&gt;0,"✓ ELVERİŞLİ","✗ ELVERİŞSİZ")</f>
        <v/>
      </c>
    </row>
  </sheetData>
  <mergeCells count="4">
    <mergeCell ref="B2:F2"/>
    <mergeCell ref="B11:F11"/>
    <mergeCell ref="B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2026-03-14T11:23:41Z</dcterms:created>
  <dcterms:modified xmlns:dcterms="http://purl.org/dc/terms/" xmlns:xsi="http://www.w3.org/2001/XMLSchema-instance" xsi:type="dcterms:W3CDTF">2026-03-14T11:23:41Z</dcterms:modified>
</cp:coreProperties>
</file>